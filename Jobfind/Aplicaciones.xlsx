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cuments\Jobfind\"/>
    </mc:Choice>
  </mc:AlternateContent>
  <xr:revisionPtr revIDLastSave="0" documentId="13_ncr:1_{AF27DC6B-C093-4A55-B296-2BAA31B4CDCA}" xr6:coauthVersionLast="47" xr6:coauthVersionMax="47" xr10:uidLastSave="{00000000-0000-0000-0000-000000000000}"/>
  <bookViews>
    <workbookView xWindow="-110" yWindow="-110" windowWidth="19420" windowHeight="10420" xr2:uid="{5254C163-13A6-4547-AB6D-D50AEEBA3A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  <c r="F18" i="1"/>
  <c r="F17" i="1"/>
  <c r="F8" i="1"/>
  <c r="F9" i="1"/>
  <c r="F10" i="1"/>
  <c r="F11" i="1"/>
  <c r="F12" i="1"/>
  <c r="F13" i="1"/>
  <c r="F14" i="1"/>
  <c r="F15" i="1"/>
  <c r="F16" i="1"/>
  <c r="F7" i="1"/>
</calcChain>
</file>

<file path=xl/sharedStrings.xml><?xml version="1.0" encoding="utf-8"?>
<sst xmlns="http://schemas.openxmlformats.org/spreadsheetml/2006/main" count="55" uniqueCount="40">
  <si>
    <t>Fecha</t>
  </si>
  <si>
    <t>Empresa</t>
  </si>
  <si>
    <t>Tiempo trasncurrido</t>
  </si>
  <si>
    <t>Status</t>
  </si>
  <si>
    <t>Contacto</t>
  </si>
  <si>
    <t>Rol</t>
  </si>
  <si>
    <t>ADL DIGITAL</t>
  </si>
  <si>
    <t>https://forms.office.com/Pages/ResponsePage.aspx?id=Yptbb_pXQUmMx64Wb9tnBr_gK71oeUNIuNGUB6baeGFUMlJJVVA1WTlNME85R0s3NEI0QlI3VU4zMC4u&amp;origin=QRCode</t>
  </si>
  <si>
    <t>Tech</t>
  </si>
  <si>
    <t>Artefact</t>
  </si>
  <si>
    <t>Little Big Code</t>
  </si>
  <si>
    <t>BIP</t>
  </si>
  <si>
    <t>Cardio</t>
  </si>
  <si>
    <t>Correo</t>
  </si>
  <si>
    <t>Whatsapp</t>
  </si>
  <si>
    <t>Forms</t>
  </si>
  <si>
    <t>https://linktr.ee/ArtefactDataAndAI?utm_source=qr_code</t>
  </si>
  <si>
    <t>Data Scientist</t>
  </si>
  <si>
    <t>IA/Data</t>
  </si>
  <si>
    <t>Consultoria</t>
  </si>
  <si>
    <t>Ciber</t>
  </si>
  <si>
    <t>Crisil</t>
  </si>
  <si>
    <t xml:space="preserve">Data </t>
  </si>
  <si>
    <t>Servinformacion</t>
  </si>
  <si>
    <t>Talento Aval</t>
  </si>
  <si>
    <t>ACH</t>
  </si>
  <si>
    <t>Ing. Apps</t>
  </si>
  <si>
    <t>Entrevista 1</t>
  </si>
  <si>
    <t>Evolucion i3</t>
  </si>
  <si>
    <t>Linkedlin</t>
  </si>
  <si>
    <t>Entrevista 2</t>
  </si>
  <si>
    <t>Prueba</t>
  </si>
  <si>
    <t>Rechazado</t>
  </si>
  <si>
    <t>N/R</t>
  </si>
  <si>
    <t>EY</t>
  </si>
  <si>
    <t>Web</t>
  </si>
  <si>
    <t>Aplicaciones Vacantes 2026</t>
  </si>
  <si>
    <t># Aplicaciones:</t>
  </si>
  <si>
    <t>Arcaise</t>
  </si>
  <si>
    <t>Junior AI 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</si>
</sst>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2" fillId="2" borderId="1" xfId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2" fillId="2" borderId="1" xfId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C8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linktr.ee/ArtefactDataAndAI?utm_source=qr_code" TargetMode="External"/><Relationship Id="rId1" Type="http://schemas.openxmlformats.org/officeDocument/2006/relationships/hyperlink" Target="https://forms.office.com/Pages/ResponsePage.aspx?id=Yptbb_pXQUmMx64Wb9tnBr_gK71oeUNIuNGUB6baeGFUMlJJVVA1WTlNME85R0s3NEI0QlI3VU4zMC4u&amp;origin=QRC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8DB5-5D75-4FBE-B81B-8537C3807E1A}">
  <dimension ref="A1:J19"/>
  <sheetViews>
    <sheetView tabSelected="1" topLeftCell="A2" workbookViewId="0">
      <selection activeCell="I15" sqref="I15"/>
    </sheetView>
  </sheetViews>
  <sheetFormatPr baseColWidth="10" defaultRowHeight="14.5" x14ac:dyDescent="0.35"/>
  <cols>
    <col min="1" max="1" width="14.453125" style="1" customWidth="1"/>
    <col min="2" max="2" width="17.36328125" style="1" customWidth="1"/>
    <col min="3" max="3" width="10.90625" style="1"/>
    <col min="4" max="4" width="21.6328125" style="1" customWidth="1"/>
    <col min="5" max="5" width="13.26953125" style="1" customWidth="1"/>
    <col min="6" max="6" width="11.7265625" style="1" customWidth="1"/>
    <col min="7" max="16384" width="10.90625" style="1"/>
  </cols>
  <sheetData>
    <row r="1" spans="1:10" x14ac:dyDescent="0.35">
      <c r="A1" s="1" t="s">
        <v>37</v>
      </c>
      <c r="B1" s="2">
        <f>COUNTA(B7:B50)</f>
        <v>13</v>
      </c>
    </row>
    <row r="5" spans="1:10" x14ac:dyDescent="0.35">
      <c r="B5" s="11" t="s">
        <v>36</v>
      </c>
      <c r="C5" s="11"/>
      <c r="D5" s="11"/>
      <c r="E5" s="11"/>
      <c r="F5" s="11"/>
      <c r="G5" s="11"/>
    </row>
    <row r="6" spans="1:10" ht="36" customHeight="1" x14ac:dyDescent="0.35">
      <c r="B6" s="4" t="s">
        <v>1</v>
      </c>
      <c r="C6" s="4" t="s">
        <v>4</v>
      </c>
      <c r="D6" s="4" t="s">
        <v>5</v>
      </c>
      <c r="E6" s="4" t="s">
        <v>0</v>
      </c>
      <c r="F6" s="5" t="s">
        <v>2</v>
      </c>
      <c r="G6" s="4" t="s">
        <v>3</v>
      </c>
    </row>
    <row r="7" spans="1:10" x14ac:dyDescent="0.35">
      <c r="B7" s="6" t="s">
        <v>6</v>
      </c>
      <c r="C7" s="7" t="s">
        <v>7</v>
      </c>
      <c r="D7" s="8" t="s">
        <v>8</v>
      </c>
      <c r="E7" s="9">
        <v>46106</v>
      </c>
      <c r="F7" s="9" t="str">
        <f ca="1">TODAY()-E7&amp;" días"</f>
        <v>0 días</v>
      </c>
      <c r="G7" s="8"/>
    </row>
    <row r="8" spans="1:10" x14ac:dyDescent="0.35">
      <c r="B8" s="6" t="s">
        <v>9</v>
      </c>
      <c r="C8" s="10" t="s">
        <v>16</v>
      </c>
      <c r="D8" s="8" t="s">
        <v>17</v>
      </c>
      <c r="E8" s="9">
        <v>46100</v>
      </c>
      <c r="F8" s="9" t="str">
        <f t="shared" ref="F8:F16" ca="1" si="0">TODAY()-E8&amp;" días"</f>
        <v>6 días</v>
      </c>
      <c r="G8" s="8"/>
      <c r="J8" s="3" t="s">
        <v>27</v>
      </c>
    </row>
    <row r="9" spans="1:10" x14ac:dyDescent="0.35">
      <c r="B9" s="6" t="s">
        <v>10</v>
      </c>
      <c r="C9" s="8" t="s">
        <v>14</v>
      </c>
      <c r="D9" s="8" t="s">
        <v>18</v>
      </c>
      <c r="E9" s="9">
        <v>46106</v>
      </c>
      <c r="F9" s="9" t="str">
        <f t="shared" ca="1" si="0"/>
        <v>0 días</v>
      </c>
      <c r="G9" s="8" t="s">
        <v>27</v>
      </c>
      <c r="J9" s="3" t="s">
        <v>30</v>
      </c>
    </row>
    <row r="10" spans="1:10" x14ac:dyDescent="0.35">
      <c r="B10" s="6" t="s">
        <v>11</v>
      </c>
      <c r="C10" s="8" t="s">
        <v>15</v>
      </c>
      <c r="D10" s="8" t="s">
        <v>19</v>
      </c>
      <c r="E10" s="9">
        <v>46106</v>
      </c>
      <c r="F10" s="9" t="str">
        <f t="shared" ca="1" si="0"/>
        <v>0 días</v>
      </c>
      <c r="G10" s="8"/>
      <c r="J10" s="3" t="s">
        <v>31</v>
      </c>
    </row>
    <row r="11" spans="1:10" x14ac:dyDescent="0.35">
      <c r="B11" s="6" t="s">
        <v>12</v>
      </c>
      <c r="C11" s="8" t="s">
        <v>13</v>
      </c>
      <c r="D11" s="8" t="s">
        <v>20</v>
      </c>
      <c r="E11" s="9">
        <v>46106</v>
      </c>
      <c r="F11" s="9" t="str">
        <f t="shared" ca="1" si="0"/>
        <v>0 días</v>
      </c>
      <c r="G11" s="8"/>
      <c r="J11" s="3" t="s">
        <v>32</v>
      </c>
    </row>
    <row r="12" spans="1:10" x14ac:dyDescent="0.35">
      <c r="B12" s="6" t="s">
        <v>21</v>
      </c>
      <c r="C12" s="8" t="s">
        <v>13</v>
      </c>
      <c r="D12" s="8" t="s">
        <v>22</v>
      </c>
      <c r="E12" s="9">
        <v>46106</v>
      </c>
      <c r="F12" s="9" t="str">
        <f t="shared" ca="1" si="0"/>
        <v>0 días</v>
      </c>
      <c r="G12" s="8"/>
      <c r="J12" s="3" t="s">
        <v>33</v>
      </c>
    </row>
    <row r="13" spans="1:10" x14ac:dyDescent="0.35">
      <c r="B13" s="6" t="s">
        <v>23</v>
      </c>
      <c r="C13" s="8" t="s">
        <v>15</v>
      </c>
      <c r="D13" s="8" t="s">
        <v>18</v>
      </c>
      <c r="E13" s="9">
        <v>46106</v>
      </c>
      <c r="F13" s="9" t="str">
        <f t="shared" ca="1" si="0"/>
        <v>0 días</v>
      </c>
      <c r="G13" s="8"/>
    </row>
    <row r="14" spans="1:10" x14ac:dyDescent="0.35">
      <c r="B14" s="6" t="s">
        <v>24</v>
      </c>
      <c r="C14" s="8" t="s">
        <v>15</v>
      </c>
      <c r="D14" s="8" t="s">
        <v>18</v>
      </c>
      <c r="E14" s="9">
        <v>46106</v>
      </c>
      <c r="F14" s="9" t="str">
        <f t="shared" ca="1" si="0"/>
        <v>0 días</v>
      </c>
      <c r="G14" s="8"/>
    </row>
    <row r="15" spans="1:10" x14ac:dyDescent="0.35">
      <c r="B15" s="6" t="s">
        <v>25</v>
      </c>
      <c r="C15" s="8" t="s">
        <v>15</v>
      </c>
      <c r="D15" s="8" t="s">
        <v>26</v>
      </c>
      <c r="E15" s="9">
        <v>46106</v>
      </c>
      <c r="F15" s="9" t="str">
        <f t="shared" ca="1" si="0"/>
        <v>0 días</v>
      </c>
      <c r="G15" s="8"/>
    </row>
    <row r="16" spans="1:10" x14ac:dyDescent="0.35">
      <c r="B16" s="6" t="s">
        <v>28</v>
      </c>
      <c r="C16" s="8" t="s">
        <v>29</v>
      </c>
      <c r="D16" s="8" t="s">
        <v>26</v>
      </c>
      <c r="E16" s="9">
        <v>46093</v>
      </c>
      <c r="F16" s="9" t="str">
        <f t="shared" ca="1" si="0"/>
        <v>13 días</v>
      </c>
      <c r="G16" s="8" t="s">
        <v>27</v>
      </c>
    </row>
    <row r="17" spans="2:7" x14ac:dyDescent="0.35">
      <c r="B17" s="6" t="s">
        <v>9</v>
      </c>
      <c r="C17" s="8" t="s">
        <v>35</v>
      </c>
      <c r="D17" s="8" t="s">
        <v>17</v>
      </c>
      <c r="E17" s="9">
        <v>46090</v>
      </c>
      <c r="F17" s="9" t="str">
        <f ca="1">TODAY()-E17&amp;" días"</f>
        <v>16 días</v>
      </c>
      <c r="G17" s="8"/>
    </row>
    <row r="18" spans="2:7" x14ac:dyDescent="0.35">
      <c r="B18" s="6" t="s">
        <v>34</v>
      </c>
      <c r="C18" s="8" t="s">
        <v>35</v>
      </c>
      <c r="D18" s="8" t="s">
        <v>17</v>
      </c>
      <c r="E18" s="9">
        <v>46082</v>
      </c>
      <c r="F18" s="9" t="str">
        <f ca="1">IF(G18="Rechazado","Cerrado",TODAY()-E18&amp;" días")</f>
        <v>Cerrado</v>
      </c>
      <c r="G18" s="8" t="s">
        <v>32</v>
      </c>
    </row>
    <row r="19" spans="2:7" x14ac:dyDescent="0.35">
      <c r="B19" s="6" t="s">
        <v>38</v>
      </c>
      <c r="C19" s="8" t="s">
        <v>15</v>
      </c>
      <c r="D19" s="8" t="s">
        <v>39</v>
      </c>
      <c r="E19" s="9">
        <v>46106</v>
      </c>
      <c r="F19" s="9"/>
      <c r="G19" s="8"/>
    </row>
  </sheetData>
  <mergeCells count="1">
    <mergeCell ref="B5:G5"/>
  </mergeCells>
  <phoneticPr fontId="3" type="noConversion"/>
  <conditionalFormatting sqref="G7:G19">
    <cfRule type="containsText" dxfId="1" priority="2" operator="containsText" text="Entrevista 1">
      <formula>NOT(ISERROR(SEARCH("Entrevista 1",G7)))</formula>
    </cfRule>
  </conditionalFormatting>
  <conditionalFormatting sqref="G18">
    <cfRule type="containsText" dxfId="0" priority="1" operator="containsText" text="Rechazado">
      <formula>NOT(ISERROR(SEARCH("Rechazado",G18)))</formula>
    </cfRule>
  </conditionalFormatting>
  <dataValidations count="1">
    <dataValidation type="list" allowBlank="1" showInputMessage="1" showErrorMessage="1" sqref="G7:G18" xr:uid="{22D6EC3B-CEB7-41E6-BC7C-87804A894799}">
      <formula1>$J$8:$J$12</formula1>
    </dataValidation>
  </dataValidations>
  <hyperlinks>
    <hyperlink ref="C7" r:id="rId1" xr:uid="{48704014-C20D-4FF7-B6B7-A48942126239}"/>
    <hyperlink ref="C8" r:id="rId2" xr:uid="{4FFB43FF-E7BC-4AFF-9CA4-770FCDD35076}"/>
  </hyperlinks>
  <pageMargins left="0.7" right="0.7" top="0.75" bottom="0.75" header="0.3" footer="0.3"/>
  <pageSetup paperSize="9" orientation="portrait" horizontalDpi="360" verticalDpi="36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2026-03-25T21:30:21Z</dcterms:created>
  <dcterms:modified xsi:type="dcterms:W3CDTF">2026-03-26T00:13:50Z</dcterms:modified>
</cp:coreProperties>
</file>